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CETECOM\Desktop\"/>
    </mc:Choice>
  </mc:AlternateContent>
  <xr:revisionPtr revIDLastSave="0" documentId="8_{32C5A7DC-CEC3-4C76-9D73-DCBBEBCE3BAE}" xr6:coauthVersionLast="47" xr6:coauthVersionMax="47" xr10:uidLastSave="{00000000-0000-0000-0000-000000000000}"/>
  <bookViews>
    <workbookView xWindow="732" yWindow="732" windowWidth="17280" windowHeight="8880" firstSheet="1" activeTab="1" xr2:uid="{00000000-000D-0000-FFFF-FFFF00000000}"/>
  </bookViews>
  <sheets>
    <sheet name="Instrucciones" sheetId="1" r:id="rId1"/>
    <sheet name="Evaluacion" sheetId="2" r:id="rId2"/>
    <sheet name="Resumen" sheetId="3" r:id="rId3"/>
    <sheet name="Hoja1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E21" i="3"/>
  <c r="D21" i="3"/>
  <c r="C21" i="3"/>
  <c r="G21" i="3" s="1"/>
  <c r="E20" i="3"/>
  <c r="D20" i="3"/>
  <c r="C20" i="3"/>
  <c r="G20" i="3" s="1"/>
  <c r="E19" i="3"/>
  <c r="D19" i="3"/>
  <c r="C19" i="3"/>
  <c r="F19" i="3" s="1"/>
  <c r="E18" i="3"/>
  <c r="D18" i="3"/>
  <c r="C18" i="3"/>
  <c r="G18" i="3" s="1"/>
  <c r="E17" i="3"/>
  <c r="D17" i="3"/>
  <c r="C17" i="3"/>
  <c r="E16" i="3"/>
  <c r="D16" i="3"/>
  <c r="C16" i="3"/>
  <c r="G16" i="3" s="1"/>
  <c r="E15" i="3"/>
  <c r="D15" i="3"/>
  <c r="C15" i="3"/>
  <c r="E14" i="3"/>
  <c r="D14" i="3"/>
  <c r="C14" i="3"/>
  <c r="F14" i="3" s="1"/>
  <c r="E13" i="3"/>
  <c r="D13" i="3"/>
  <c r="C13" i="3"/>
  <c r="G13" i="3" s="1"/>
  <c r="C9" i="3"/>
  <c r="C8" i="3"/>
  <c r="C7" i="3"/>
  <c r="C6" i="3"/>
  <c r="C5" i="3"/>
  <c r="G15" i="3" l="1"/>
  <c r="G22" i="3"/>
  <c r="F17" i="3"/>
  <c r="G14" i="3"/>
  <c r="G17" i="3"/>
  <c r="F16" i="3"/>
  <c r="F21" i="3"/>
  <c r="F13" i="3"/>
  <c r="F18" i="3"/>
  <c r="F20" i="3"/>
  <c r="F15" i="3"/>
  <c r="G19" i="3"/>
  <c r="F22" i="3"/>
</calcChain>
</file>

<file path=xl/sharedStrings.xml><?xml version="1.0" encoding="utf-8"?>
<sst xmlns="http://schemas.openxmlformats.org/spreadsheetml/2006/main" count="118" uniqueCount="82">
  <si>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</si>
  <si>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</si>
  <si>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</si>
  <si>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</si>
  <si>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</si>
  <si>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</si>
  <si>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</si>
  <si>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</si>
  <si>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</si>
  <si>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</si>
  <si>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</si>
  <si>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</si>
  <si>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</si>
  <si>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</si>
  <si>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</si>
  <si>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</si>
  <si>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</si>
  <si>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</si>
  <si>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</si>
  <si>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</si>
  <si>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</si>
  <si>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</si>
  <si>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</si>
  <si>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</si>
  <si>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</si>
  <si>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</si>
  <si>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</si>
  <si>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</si>
  <si>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</si>
  <si>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</si>
  <si>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</si>
  <si>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H5 - Prevencion de errores</t>
  </si>
  <si>
    <t>El prototipo no manda mensaje de error al ingresar datos erroneos en inicio de sesión</t>
  </si>
  <si>
    <t>pagina de inicio de sesión</t>
  </si>
  <si>
    <t>Agregar verificación de datos en inicio de sesión</t>
  </si>
  <si>
    <t>Milton Saavedra</t>
  </si>
  <si>
    <t>H3 - Control y libertad</t>
  </si>
  <si>
    <t>No hay panel de confirmación antes de hacer un nuevo pago</t>
  </si>
  <si>
    <t>Pantalla de registro de pagos</t>
  </si>
  <si>
    <t>Agregar pantalla de confirmación antes de cada registro de pago</t>
  </si>
  <si>
    <t>H10 - Ayuda y documentacion</t>
  </si>
  <si>
    <t>No hay un canal de comunicación con soporte tecnico en el sistema</t>
  </si>
  <si>
    <t xml:space="preserve">Pantalla de Gestión Financiera y Cobranza
</t>
  </si>
  <si>
    <t>https://www.figma.com/make/TTrQ2Pp1NQKmCrkKTOubYI/Prototipo-de-plataforma-web?p=f&amp;t=2PQILv0mTi2qV77J-0</t>
  </si>
  <si>
    <t>Agregar una forma de comunicarse con soporte tecnico en la plataforma</t>
  </si>
  <si>
    <t>El prototipo no manda mensaje de error al ingresar un nombre erroneo en el registro de pagos</t>
  </si>
  <si>
    <t>Agregar una verificación para evitar el ingreso de nombres invalidos</t>
  </si>
  <si>
    <t>El prototipo permite ingresar fechas erroneas al registrar pagos</t>
  </si>
  <si>
    <t>Evitar el ingreso de fechas erroneas a la plataforma</t>
  </si>
  <si>
    <t>H1 - Visibilidad del estado</t>
  </si>
  <si>
    <t>Los datos ingresados por el usuario no se guardan</t>
  </si>
  <si>
    <t>Pantalla de Actualizar Pagos</t>
  </si>
  <si>
    <t>Asegurarse de guardar los datos ingresados por el usuario</t>
  </si>
  <si>
    <t>El sistema permite ingresar numero de residencia inexistente</t>
  </si>
  <si>
    <t>Evitar el ingreso de numero de residencia erroneo</t>
  </si>
  <si>
    <t xml:space="preserve">El sistema no permite actualizar los pagos realizados </t>
  </si>
  <si>
    <t>Permitir que se actualizen los datos que el usuario cambie en sus pagos</t>
  </si>
  <si>
    <t>El sistema permite pagar decimales de pesos</t>
  </si>
  <si>
    <t>Limitar las cantidades a pagar a enteros</t>
  </si>
  <si>
    <t>H7 - Flexibilidad y eficiencia</t>
  </si>
  <si>
    <t>No existen atajos ni formas de hacer mas rapido el transcurso entre pantallas y gestiones</t>
  </si>
  <si>
    <t>Agregar atajos o sistemas favoritos para la facilidad y eficiencia de uso del sistema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</si>
  <si>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</si>
  <si>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</si>
  <si>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</si>
  <si>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</si>
  <si>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</si>
  <si>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</si>
  <si>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</si>
  <si>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</si>
  <si>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</si>
  <si>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</si>
  <si>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</si>
  <si>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</si>
  <si>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</si>
  <si>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</si>
  <si>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H2 - Sistema y mundo real</t>
  </si>
  <si>
    <t>H4 - Consistencia y estandares</t>
  </si>
  <si>
    <t>H6 - Reconocimiento &gt; recuerdo</t>
  </si>
  <si>
    <t>H8 - Diseno minimalista</t>
  </si>
  <si>
    <t>H9 - Recuperacion de errores</t>
  </si>
  <si>
    <t>H8 - Diseño minimalista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</si>
</sst>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rgb="FF2C2C2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0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/>
    <xf numFmtId="0" fontId="14" fillId="3" borderId="1" xfId="1" applyFill="1" applyBorder="1" applyAlignment="1">
      <alignment horizontal="left" vertical="center" wrapText="1"/>
    </xf>
    <xf numFmtId="0" fontId="15" fillId="0" borderId="0" xfId="0" applyFont="1"/>
    <xf numFmtId="0" fontId="1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4" fillId="4" borderId="1" xfId="2" applyFill="1" applyBorder="1" applyAlignment="1">
      <alignment horizontal="left" vertical="center" wrapText="1"/>
    </xf>
    <xf numFmtId="0" fontId="14" fillId="3" borderId="1" xfId="2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6" fillId="5" borderId="0" xfId="0" applyFont="1" applyFill="1" applyAlignment="1"/>
    <xf numFmtId="0" fontId="6" fillId="5" borderId="2" xfId="0" applyFont="1" applyFill="1" applyBorder="1" applyAlignment="1"/>
    <xf numFmtId="0" fontId="6" fillId="0" borderId="2" xfId="0" applyFont="1" applyBorder="1" applyAlignment="1"/>
    <xf numFmtId="0" fontId="0" fillId="0" borderId="0" xfId="0" applyAlignmen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518160</xdr:colOff>
      <xdr:row>2</xdr:row>
      <xdr:rowOff>403859</xdr:rowOff>
    </xdr:from>
    <xdr:to>
      <xdr:col>5</xdr:col>
      <xdr:colOff>2293620</xdr:colOff>
      <xdr:row>3</xdr:row>
      <xdr:rowOff>2148050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423AF0-D398-4F52-A8C8-A89355B9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1440" y="1005839"/>
          <a:ext cx="1775460" cy="214805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</xdr:row>
      <xdr:rowOff>7620</xdr:rowOff>
    </xdr:from>
    <xdr:to>
      <xdr:col>6</xdr:col>
      <xdr:colOff>0</xdr:colOff>
      <xdr:row>5</xdr:row>
      <xdr:rowOff>9399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6497017-8C19-48A8-8974-96136291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3281" y="3169920"/>
          <a:ext cx="2804159" cy="16019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6</xdr:row>
      <xdr:rowOff>1600200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1DE930-B659-ED5E-E5A6-656D86CE3DEF}"/>
            </a:ext>
            <a:ext uri="{147F2762-F138-4A5C-976F-8EAC2B608ADB}">
              <a16:predDERef xmlns:a16="http://schemas.microsoft.com/office/drawing/2014/main" pred="{36497017-8C19-48A8-8974-96136291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91350" y="5286375"/>
          <a:ext cx="2724150" cy="1600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2705100</xdr:colOff>
      <xdr:row>7</xdr:row>
      <xdr:rowOff>1581150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069D6-7F00-6C1E-A296-5F1E30123E48}"/>
            </a:ext>
            <a:ext uri="{147F2762-F138-4A5C-976F-8EAC2B608ADB}">
              <a16:predDERef xmlns:a16="http://schemas.microsoft.com/office/drawing/2014/main" pred="{DB1DE930-B659-ED5E-E5A6-656D86CE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1350" y="6915150"/>
          <a:ext cx="2705100" cy="1581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2686050</xdr:colOff>
      <xdr:row>8</xdr:row>
      <xdr:rowOff>1047750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57C53F-E497-E6FA-73CE-4E40B9000846}"/>
            </a:ext>
            <a:ext uri="{147F2762-F138-4A5C-976F-8EAC2B608ADB}">
              <a16:predDERef xmlns:a16="http://schemas.microsoft.com/office/drawing/2014/main" pred="{069069D6-7F00-6C1E-A296-5F1E3012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1350" y="8515350"/>
          <a:ext cx="2686050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9</xdr:row>
      <xdr:rowOff>1562100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519BAB-E42E-09CA-AD2F-5A949B513F1D}"/>
            </a:ext>
            <a:ext uri="{147F2762-F138-4A5C-976F-8EAC2B608ADB}">
              <a16:predDERef xmlns:a16="http://schemas.microsoft.com/office/drawing/2014/main" pred="{4857C53F-E497-E6FA-73CE-4E40B900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91350" y="9572625"/>
          <a:ext cx="2724150" cy="1562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2714625</xdr:colOff>
      <xdr:row>10</xdr:row>
      <xdr:rowOff>1685925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0ED184-AF3B-824C-0EC7-C6039892EE69}"/>
            </a:ext>
            <a:ext uri="{147F2762-F138-4A5C-976F-8EAC2B608ADB}">
              <a16:predDERef xmlns:a16="http://schemas.microsoft.com/office/drawing/2014/main" pred="{58519BAB-E42E-09CA-AD2F-5A949B51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91350" y="11172825"/>
          <a:ext cx="2714625" cy="1685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438150</xdr:rowOff>
    </xdr:from>
    <xdr:to>
      <xdr:col>6</xdr:col>
      <xdr:colOff>9525</xdr:colOff>
      <xdr:row>11</xdr:row>
      <xdr:rowOff>2095500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F80701-944B-E55D-5388-D6661605EDAC}"/>
            </a:ext>
            <a:ext uri="{147F2762-F138-4A5C-976F-8EAC2B608ADB}">
              <a16:predDERef xmlns:a16="http://schemas.microsoft.com/office/drawing/2014/main" pred="{F60ED184-AF3B-824C-0EC7-C6039892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91350" y="13325475"/>
          <a:ext cx="2733675" cy="165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igma.com/make/TTrQ2Pp1NQKmCrkKTOubYI/Prototipo-de-plataforma-web?p=f&amp;t=2PQILv0mTi2qV77J-0" TargetMode="External"/><Relationship Id="rId1" Type="http://schemas.openxmlformats.org/officeDocument/2006/relationships/hyperlink" Target="https://www.figma.com/make/TTrQ2Pp1NQKmCrkKTOubYI/Prototipo-de-plataforma-web?p=f&amp;t=2PQILv0mTi2qV77J-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zoomScale="140" zoomScaleNormal="140" workbookViewId="0">
      <selection activeCell="B8" sqref="B8:E8"/>
    </sheetView>
  </sheetViews>
  <sheetFormatPr defaultColWidth="8.7109375" defaultRowHeight="14.45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40.15" customHeight="1">
      <c r="B2" s="24" t="s">
        <v>0</v>
      </c>
      <c r="C2" s="36"/>
      <c r="D2" s="36"/>
      <c r="E2" s="36"/>
    </row>
    <row r="3" spans="2:5" ht="22.15" customHeight="1">
      <c r="B3" s="26" t="s">
        <v>1</v>
      </c>
      <c r="C3" s="36"/>
      <c r="D3" s="36"/>
      <c r="E3" s="36"/>
    </row>
    <row r="5" spans="2:5" ht="18" customHeight="1">
      <c r="B5" s="28" t="s">
        <v>2</v>
      </c>
      <c r="C5" s="37"/>
      <c r="D5" s="37"/>
      <c r="E5" s="37"/>
    </row>
    <row r="6" spans="2:5" ht="18" customHeight="1">
      <c r="B6" s="25" t="s">
        <v>3</v>
      </c>
      <c r="C6" s="38"/>
      <c r="D6" s="38"/>
      <c r="E6" s="38"/>
    </row>
    <row r="7" spans="2:5" ht="18" customHeight="1">
      <c r="B7" s="25" t="s">
        <v>4</v>
      </c>
      <c r="C7" s="38"/>
      <c r="D7" s="38"/>
      <c r="E7" s="38"/>
    </row>
    <row r="8" spans="2:5" ht="18" customHeight="1">
      <c r="B8" s="25" t="s">
        <v>5</v>
      </c>
      <c r="C8" s="38"/>
      <c r="D8" s="38"/>
      <c r="E8" s="38"/>
    </row>
    <row r="9" spans="2:5" ht="18" customHeight="1">
      <c r="B9" s="25" t="s">
        <v>6</v>
      </c>
      <c r="C9" s="38"/>
      <c r="D9" s="38"/>
      <c r="E9" s="38"/>
    </row>
    <row r="10" spans="2:5" ht="18" customHeight="1">
      <c r="B10" s="25" t="s">
        <v>7</v>
      </c>
      <c r="C10" s="38"/>
      <c r="D10" s="38"/>
      <c r="E10" s="38"/>
    </row>
    <row r="11" spans="2:5" ht="18" customHeight="1">
      <c r="B11" s="25" t="s">
        <v>8</v>
      </c>
      <c r="C11" s="38"/>
      <c r="D11" s="38"/>
      <c r="E11" s="38"/>
    </row>
    <row r="12" spans="2:5" ht="18" customHeight="1">
      <c r="B12" s="25" t="s">
        <v>9</v>
      </c>
      <c r="C12" s="38"/>
      <c r="D12" s="38"/>
      <c r="E12" s="38"/>
    </row>
    <row r="15" spans="2:5" ht="18" customHeight="1">
      <c r="B15" s="27" t="s">
        <v>10</v>
      </c>
      <c r="C15" s="38"/>
      <c r="D15" s="38"/>
      <c r="E15" s="38"/>
    </row>
    <row r="16" spans="2:5" ht="18" customHeight="1">
      <c r="B16" s="7" t="s">
        <v>11</v>
      </c>
      <c r="C16" s="25" t="s">
        <v>12</v>
      </c>
      <c r="D16" s="38"/>
      <c r="E16" s="38"/>
    </row>
    <row r="17" spans="2:5" ht="18" customHeight="1">
      <c r="B17" s="7" t="s">
        <v>13</v>
      </c>
      <c r="C17" s="25" t="s">
        <v>14</v>
      </c>
      <c r="D17" s="38"/>
      <c r="E17" s="38"/>
    </row>
    <row r="18" spans="2:5" ht="18" customHeight="1">
      <c r="B18" s="7" t="s">
        <v>15</v>
      </c>
      <c r="C18" s="25" t="s">
        <v>16</v>
      </c>
      <c r="D18" s="38"/>
      <c r="E18" s="38"/>
    </row>
    <row r="19" spans="2:5" ht="18" customHeight="1">
      <c r="B19" s="7" t="s">
        <v>17</v>
      </c>
      <c r="C19" s="25" t="s">
        <v>18</v>
      </c>
      <c r="D19" s="38"/>
      <c r="E19" s="38"/>
    </row>
    <row r="20" spans="2:5" ht="18" customHeight="1">
      <c r="B20" s="7" t="s">
        <v>19</v>
      </c>
      <c r="C20" s="25" t="s">
        <v>20</v>
      </c>
      <c r="D20" s="38"/>
      <c r="E20" s="38"/>
    </row>
  </sheetData>
  <mergeCells count="16">
    <mergeCell ref="C20:E20"/>
    <mergeCell ref="B9:E9"/>
    <mergeCell ref="B15:E15"/>
    <mergeCell ref="C16:E16"/>
    <mergeCell ref="B5:E5"/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showGridLines="0" tabSelected="1" workbookViewId="0">
      <pane ySplit="3" topLeftCell="A11" activePane="bottomLeft" state="frozen"/>
      <selection pane="bottomLeft" activeCell="H14" sqref="H14"/>
    </sheetView>
  </sheetViews>
  <sheetFormatPr defaultColWidth="8.7109375" defaultRowHeight="14.45"/>
  <cols>
    <col min="1" max="1" width="5" customWidth="1"/>
    <col min="2" max="2" width="27.85546875" customWidth="1"/>
    <col min="3" max="3" width="32" customWidth="1"/>
    <col min="4" max="4" width="28" customWidth="1"/>
    <col min="5" max="5" width="12" customWidth="1"/>
    <col min="6" max="6" width="40.85546875" customWidth="1"/>
    <col min="7" max="7" width="30" customWidth="1"/>
    <col min="8" max="8" width="16" customWidth="1"/>
  </cols>
  <sheetData>
    <row r="1" spans="1:9" ht="31.9" customHeight="1">
      <c r="A1" s="23" t="s">
        <v>21</v>
      </c>
      <c r="B1" s="36"/>
      <c r="C1" s="36"/>
      <c r="D1" s="36"/>
      <c r="E1" s="36"/>
      <c r="F1" s="36"/>
      <c r="G1" s="36"/>
      <c r="H1" s="36"/>
      <c r="I1" s="19"/>
    </row>
    <row r="2" spans="1:9" ht="16.149999999999999" customHeight="1">
      <c r="A2" s="22" t="s">
        <v>22</v>
      </c>
      <c r="B2" s="36"/>
      <c r="C2" s="36"/>
      <c r="D2" s="36"/>
      <c r="E2" s="36"/>
      <c r="F2" s="36"/>
      <c r="G2" s="36"/>
      <c r="H2" s="36"/>
      <c r="I2" s="19"/>
    </row>
    <row r="3" spans="1:9" ht="31.9" customHeight="1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8" t="s">
        <v>29</v>
      </c>
      <c r="H3" s="8" t="s">
        <v>30</v>
      </c>
      <c r="I3" s="19"/>
    </row>
    <row r="4" spans="1:9" ht="169.9" customHeight="1">
      <c r="A4" s="2">
        <v>1</v>
      </c>
      <c r="B4" s="3" t="s">
        <v>31</v>
      </c>
      <c r="C4" s="3" t="s">
        <v>32</v>
      </c>
      <c r="D4" s="3" t="s">
        <v>33</v>
      </c>
      <c r="E4" s="4">
        <v>4</v>
      </c>
      <c r="F4" s="20"/>
      <c r="G4" s="3" t="s">
        <v>34</v>
      </c>
      <c r="H4" s="3" t="s">
        <v>35</v>
      </c>
      <c r="I4" s="19"/>
    </row>
    <row r="5" spans="1:9" ht="126" customHeight="1">
      <c r="A5" s="5">
        <v>2</v>
      </c>
      <c r="B5" s="3" t="s">
        <v>36</v>
      </c>
      <c r="C5" s="1" t="s">
        <v>37</v>
      </c>
      <c r="D5" s="1" t="s">
        <v>38</v>
      </c>
      <c r="E5" s="6">
        <v>3</v>
      </c>
      <c r="F5" s="20"/>
      <c r="G5" s="1" t="s">
        <v>39</v>
      </c>
      <c r="H5" s="1" t="s">
        <v>35</v>
      </c>
      <c r="I5" s="21"/>
    </row>
    <row r="6" spans="1:9" ht="42" customHeight="1">
      <c r="A6" s="2">
        <v>3</v>
      </c>
      <c r="B6" s="3" t="s">
        <v>40</v>
      </c>
      <c r="C6" s="3" t="s">
        <v>41</v>
      </c>
      <c r="D6" s="3" t="s">
        <v>42</v>
      </c>
      <c r="E6" s="4">
        <v>2</v>
      </c>
      <c r="F6" s="33" t="s">
        <v>43</v>
      </c>
      <c r="G6" s="3" t="s">
        <v>44</v>
      </c>
      <c r="H6" s="3" t="s">
        <v>35</v>
      </c>
      <c r="I6" s="19"/>
    </row>
    <row r="7" spans="1:9" ht="128.25" customHeight="1">
      <c r="A7" s="5">
        <v>4</v>
      </c>
      <c r="B7" s="3" t="s">
        <v>31</v>
      </c>
      <c r="C7" s="1" t="s">
        <v>45</v>
      </c>
      <c r="D7" s="1" t="s">
        <v>38</v>
      </c>
      <c r="E7" s="6">
        <v>4</v>
      </c>
      <c r="F7" s="3"/>
      <c r="G7" s="1" t="s">
        <v>46</v>
      </c>
      <c r="H7" s="1" t="s">
        <v>35</v>
      </c>
      <c r="I7" s="19"/>
    </row>
    <row r="8" spans="1:9" ht="126" customHeight="1">
      <c r="A8" s="2">
        <v>5</v>
      </c>
      <c r="B8" s="3" t="s">
        <v>31</v>
      </c>
      <c r="C8" s="3" t="s">
        <v>47</v>
      </c>
      <c r="D8" s="3" t="s">
        <v>38</v>
      </c>
      <c r="E8" s="4">
        <v>4</v>
      </c>
      <c r="F8" s="1"/>
      <c r="G8" s="3" t="s">
        <v>48</v>
      </c>
      <c r="H8" s="3" t="s">
        <v>35</v>
      </c>
      <c r="I8" s="19"/>
    </row>
    <row r="9" spans="1:9" ht="83.25" customHeight="1">
      <c r="A9" s="5">
        <v>6</v>
      </c>
      <c r="B9" s="3" t="s">
        <v>49</v>
      </c>
      <c r="C9" s="1" t="s">
        <v>50</v>
      </c>
      <c r="D9" s="1" t="s">
        <v>51</v>
      </c>
      <c r="E9" s="6">
        <v>3</v>
      </c>
      <c r="F9" s="3"/>
      <c r="G9" s="1" t="s">
        <v>52</v>
      </c>
      <c r="H9" s="1" t="s">
        <v>35</v>
      </c>
      <c r="I9" s="19"/>
    </row>
    <row r="10" spans="1:9" ht="126" customHeight="1">
      <c r="A10" s="2">
        <v>7</v>
      </c>
      <c r="B10" s="3" t="s">
        <v>31</v>
      </c>
      <c r="C10" s="3" t="s">
        <v>53</v>
      </c>
      <c r="D10" s="3" t="s">
        <v>38</v>
      </c>
      <c r="E10" s="4">
        <v>4</v>
      </c>
      <c r="F10" s="1"/>
      <c r="G10" s="3" t="s">
        <v>54</v>
      </c>
      <c r="H10" s="3" t="s">
        <v>35</v>
      </c>
      <c r="I10" s="19"/>
    </row>
    <row r="11" spans="1:9" ht="135" customHeight="1">
      <c r="A11" s="5">
        <v>8</v>
      </c>
      <c r="B11" s="3" t="s">
        <v>31</v>
      </c>
      <c r="C11" s="1" t="s">
        <v>55</v>
      </c>
      <c r="D11" s="1" t="s">
        <v>51</v>
      </c>
      <c r="E11" s="6">
        <v>2</v>
      </c>
      <c r="F11" s="3"/>
      <c r="G11" s="1" t="s">
        <v>56</v>
      </c>
      <c r="H11" s="1" t="s">
        <v>35</v>
      </c>
      <c r="I11" s="19"/>
    </row>
    <row r="12" spans="1:9" ht="172.5" customHeight="1">
      <c r="A12" s="2">
        <v>9</v>
      </c>
      <c r="B12" s="3" t="s">
        <v>31</v>
      </c>
      <c r="C12" s="3" t="s">
        <v>57</v>
      </c>
      <c r="D12" s="3" t="s">
        <v>38</v>
      </c>
      <c r="E12" s="4">
        <v>3</v>
      </c>
      <c r="F12" s="1"/>
      <c r="G12" s="3" t="s">
        <v>58</v>
      </c>
      <c r="H12" s="3" t="s">
        <v>35</v>
      </c>
      <c r="I12" s="19"/>
    </row>
    <row r="13" spans="1:9" ht="42" customHeight="1">
      <c r="A13" s="5">
        <v>10</v>
      </c>
      <c r="B13" s="3" t="s">
        <v>59</v>
      </c>
      <c r="C13" s="1" t="s">
        <v>60</v>
      </c>
      <c r="D13" s="1" t="s">
        <v>42</v>
      </c>
      <c r="E13" s="6">
        <v>1</v>
      </c>
      <c r="F13" s="34" t="s">
        <v>43</v>
      </c>
      <c r="G13" s="1" t="s">
        <v>61</v>
      </c>
      <c r="H13" s="1" t="s">
        <v>35</v>
      </c>
      <c r="I13" s="19"/>
    </row>
    <row r="14" spans="1:9" ht="42" customHeight="1">
      <c r="A14" s="2">
        <v>11</v>
      </c>
      <c r="B14" s="3"/>
      <c r="C14" s="3"/>
      <c r="D14" s="3"/>
      <c r="E14" s="4"/>
      <c r="F14" s="1"/>
      <c r="G14" s="3"/>
      <c r="H14" s="35"/>
      <c r="I14" s="19"/>
    </row>
    <row r="15" spans="1:9" ht="42" customHeight="1">
      <c r="A15" s="5">
        <v>12</v>
      </c>
      <c r="B15" s="3"/>
      <c r="C15" s="1"/>
      <c r="D15" s="1"/>
      <c r="E15" s="6"/>
      <c r="F15" s="3"/>
      <c r="G15" s="1"/>
      <c r="H15" s="1"/>
      <c r="I15" s="19"/>
    </row>
    <row r="16" spans="1:9" ht="42" customHeight="1">
      <c r="A16" s="2">
        <v>13</v>
      </c>
      <c r="B16" s="3"/>
      <c r="C16" s="3"/>
      <c r="D16" s="3"/>
      <c r="E16" s="4"/>
      <c r="F16" s="1"/>
      <c r="G16" s="3"/>
      <c r="H16" s="3"/>
      <c r="I16" s="19"/>
    </row>
    <row r="17" spans="1:8" ht="42" customHeight="1">
      <c r="A17" s="5">
        <v>14</v>
      </c>
      <c r="B17" s="3"/>
      <c r="C17" s="1"/>
      <c r="D17" s="1"/>
      <c r="E17" s="6"/>
      <c r="F17" s="3"/>
      <c r="G17" s="1"/>
      <c r="H17" s="1"/>
    </row>
    <row r="18" spans="1:8" ht="42" customHeight="1">
      <c r="A18" s="2">
        <v>15</v>
      </c>
      <c r="B18" s="3"/>
      <c r="C18" s="3"/>
      <c r="D18" s="3"/>
      <c r="E18" s="4"/>
      <c r="F18" s="1"/>
      <c r="G18" s="3"/>
      <c r="H18" s="3"/>
    </row>
    <row r="19" spans="1:8" ht="42" customHeight="1">
      <c r="A19" s="5">
        <v>16</v>
      </c>
      <c r="B19" s="3"/>
      <c r="C19" s="1"/>
      <c r="D19" s="1"/>
      <c r="E19" s="6"/>
      <c r="F19" s="3"/>
      <c r="G19" s="1"/>
      <c r="H19" s="1"/>
    </row>
    <row r="20" spans="1:8" ht="42" customHeight="1">
      <c r="A20" s="2">
        <v>17</v>
      </c>
      <c r="B20" s="3"/>
      <c r="C20" s="3"/>
      <c r="D20" s="3"/>
      <c r="E20" s="4"/>
      <c r="F20" s="1"/>
      <c r="G20" s="3"/>
      <c r="H20" s="3"/>
    </row>
    <row r="21" spans="1:8" ht="42" customHeight="1">
      <c r="A21" s="5">
        <v>18</v>
      </c>
      <c r="B21" s="3"/>
      <c r="C21" s="1"/>
      <c r="D21" s="1"/>
      <c r="E21" s="6"/>
      <c r="F21" s="3"/>
      <c r="G21" s="1"/>
      <c r="H21" s="1"/>
    </row>
    <row r="22" spans="1:8" ht="42" customHeight="1">
      <c r="A22" s="2">
        <v>19</v>
      </c>
      <c r="B22" s="3"/>
      <c r="C22" s="3"/>
      <c r="D22" s="3"/>
      <c r="E22" s="4"/>
      <c r="F22" s="1"/>
      <c r="G22" s="3"/>
      <c r="H22" s="3"/>
    </row>
    <row r="23" spans="1:8" ht="42" customHeight="1">
      <c r="A23" s="5">
        <v>20</v>
      </c>
      <c r="B23" s="3"/>
      <c r="C23" s="1"/>
      <c r="D23" s="1"/>
      <c r="E23" s="6"/>
      <c r="F23" s="3"/>
      <c r="G23" s="1"/>
      <c r="H23" s="1"/>
    </row>
    <row r="24" spans="1:8" ht="42" customHeight="1">
      <c r="A24" s="2">
        <v>21</v>
      </c>
      <c r="B24" s="3"/>
      <c r="C24" s="3"/>
      <c r="D24" s="3"/>
      <c r="E24" s="4"/>
      <c r="F24" s="1"/>
      <c r="G24" s="3"/>
      <c r="H24" s="3"/>
    </row>
    <row r="25" spans="1:8" ht="42" customHeight="1">
      <c r="A25" s="5">
        <v>22</v>
      </c>
      <c r="B25" s="3"/>
      <c r="C25" s="1"/>
      <c r="D25" s="1"/>
      <c r="E25" s="6"/>
      <c r="F25" s="3"/>
      <c r="G25" s="1"/>
      <c r="H25" s="1"/>
    </row>
    <row r="26" spans="1:8" ht="42" customHeight="1">
      <c r="A26" s="2">
        <v>23</v>
      </c>
      <c r="B26" s="3"/>
      <c r="C26" s="3"/>
      <c r="D26" s="3"/>
      <c r="E26" s="4"/>
      <c r="F26" s="1"/>
      <c r="G26" s="3"/>
      <c r="H26" s="3"/>
    </row>
    <row r="27" spans="1:8" ht="42" customHeight="1">
      <c r="A27" s="5">
        <v>24</v>
      </c>
      <c r="B27" s="3"/>
      <c r="C27" s="1"/>
      <c r="D27" s="1"/>
      <c r="E27" s="6"/>
      <c r="F27" s="3"/>
      <c r="G27" s="1"/>
      <c r="H27" s="1"/>
    </row>
    <row r="28" spans="1:8" ht="42" customHeight="1">
      <c r="A28" s="2">
        <v>25</v>
      </c>
      <c r="B28" s="3"/>
      <c r="C28" s="3"/>
      <c r="D28" s="3"/>
      <c r="E28" s="4"/>
      <c r="F28" s="1"/>
      <c r="G28" s="3"/>
      <c r="H28" s="3"/>
    </row>
    <row r="29" spans="1:8">
      <c r="A29" s="19"/>
      <c r="B29" s="19"/>
      <c r="C29" s="19"/>
      <c r="D29" s="19"/>
      <c r="E29" s="19"/>
      <c r="F29" s="3"/>
      <c r="G29" s="19"/>
      <c r="H29" s="19"/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1">
    <dataValidation type="whole" allowBlank="1" showInputMessage="1" showErrorMessage="1" errorTitle="Severidad invalida" error="Ingrese un numero entre 0 y 4." promptTitle="Escala de severidad" prompt="0=No problema  1=Cosmético  2=Menor  3=Mayor  4=Catastrófico" sqref="E4:E28" xr:uid="{00000000-0002-0000-0100-000001000000}">
      <formula1>0</formula1>
      <formula2>4</formula2>
    </dataValidation>
  </dataValidations>
  <hyperlinks>
    <hyperlink ref="F6" r:id="rId1" xr:uid="{A768D59D-B75B-4281-94D9-FFCEB5BDE845}"/>
    <hyperlink ref="F13" r:id="rId2" xr:uid="{2FFC12CA-A924-4E8F-8F6E-A1B2E3BA46C8}"/>
  </hyperlinks>
  <pageMargins left="0.75" right="0.75" top="1" bottom="1" header="0.5" footer="0.5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alido" error="Seleccione una heuristica de la lista." xr:uid="{3087ABF0-84DE-3748-94DD-AB128F0860F6}">
          <x14:formula1>
            <xm:f>Hoja1!$A$1:$A$10</xm:f>
          </x14:formula1>
          <xm:sqref>B4:B28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A23" sqref="A23"/>
    </sheetView>
  </sheetViews>
  <sheetFormatPr defaultColWidth="8.7109375" defaultRowHeight="14.45"/>
  <cols>
    <col min="1" max="1" width="3" customWidth="1"/>
    <col min="2" max="2" width="28" customWidth="1"/>
    <col min="3" max="5" width="14" customWidth="1"/>
    <col min="6" max="6" width="18" customWidth="1"/>
    <col min="7" max="7" width="20" customWidth="1"/>
  </cols>
  <sheetData>
    <row r="1" spans="2:7" ht="31.9" customHeight="1">
      <c r="B1" s="23" t="s">
        <v>62</v>
      </c>
      <c r="C1" s="36"/>
      <c r="D1" s="36"/>
      <c r="E1" s="36"/>
      <c r="F1" s="36"/>
      <c r="G1" s="36"/>
    </row>
    <row r="2" spans="2:7" ht="16.149999999999999" customHeight="1">
      <c r="B2" s="22" t="s">
        <v>63</v>
      </c>
      <c r="C2" s="36"/>
      <c r="D2" s="36"/>
      <c r="E2" s="36"/>
      <c r="F2" s="36"/>
      <c r="G2" s="36"/>
    </row>
    <row r="4" spans="2:7" ht="18" customHeight="1">
      <c r="B4" s="29" t="s">
        <v>64</v>
      </c>
      <c r="C4" s="39"/>
      <c r="D4" s="39"/>
      <c r="E4" s="39"/>
      <c r="F4" s="39"/>
      <c r="G4" s="39"/>
    </row>
    <row r="5" spans="2:7" ht="22.15" customHeight="1">
      <c r="B5" s="9" t="s">
        <v>65</v>
      </c>
      <c r="C5" s="30">
        <f>COUNTA(Evaluacion!C4:C28)</f>
        <v>10</v>
      </c>
      <c r="D5" s="38"/>
      <c r="E5" s="19"/>
      <c r="F5" s="19"/>
      <c r="G5" s="19"/>
    </row>
    <row r="6" spans="2:7" ht="22.15" customHeight="1">
      <c r="B6" s="9" t="s">
        <v>66</v>
      </c>
      <c r="C6" s="32">
        <f>IFERROR(AVERAGE(Evaluacion!E4:E28),0)</f>
        <v>3</v>
      </c>
      <c r="D6" s="38"/>
      <c r="E6" s="19"/>
      <c r="F6" s="19"/>
      <c r="G6" s="19"/>
    </row>
    <row r="7" spans="2:7" ht="22.15" customHeight="1">
      <c r="B7" s="9" t="s">
        <v>67</v>
      </c>
      <c r="C7" s="30">
        <f>COUNTIF(Evaluacion!E4:E28,4)</f>
        <v>4</v>
      </c>
      <c r="D7" s="38"/>
      <c r="E7" s="19"/>
      <c r="F7" s="19"/>
      <c r="G7" s="19"/>
    </row>
    <row r="8" spans="2:7" ht="22.15" customHeight="1">
      <c r="B8" s="9" t="s">
        <v>68</v>
      </c>
      <c r="C8" s="30">
        <f>COUNTIF(Evaluacion!E4:E28,3)</f>
        <v>3</v>
      </c>
      <c r="D8" s="38"/>
      <c r="E8" s="19"/>
      <c r="F8" s="19"/>
      <c r="G8" s="19"/>
    </row>
    <row r="9" spans="2:7" ht="22.15" customHeight="1">
      <c r="B9" s="9" t="s">
        <v>69</v>
      </c>
      <c r="C9" s="30">
        <f>COUNTIFS(Evaluacion!E4:E28,"&gt;=1",Evaluacion!E4:E28,"&lt;=2")</f>
        <v>3</v>
      </c>
      <c r="D9" s="38"/>
      <c r="E9" s="19"/>
      <c r="F9" s="19"/>
      <c r="G9" s="19"/>
    </row>
    <row r="11" spans="2:7" ht="18" customHeight="1">
      <c r="B11" s="31" t="s">
        <v>70</v>
      </c>
      <c r="C11" s="36"/>
      <c r="D11" s="36"/>
      <c r="E11" s="36"/>
      <c r="F11" s="36"/>
      <c r="G11" s="36"/>
    </row>
    <row r="12" spans="2:7" ht="19.899999999999999" customHeight="1">
      <c r="B12" s="8" t="s">
        <v>24</v>
      </c>
      <c r="C12" s="8" t="s">
        <v>71</v>
      </c>
      <c r="D12" s="8" t="s">
        <v>72</v>
      </c>
      <c r="E12" s="8" t="s">
        <v>73</v>
      </c>
      <c r="F12" s="8" t="s">
        <v>74</v>
      </c>
      <c r="G12" s="8" t="s">
        <v>75</v>
      </c>
    </row>
    <row r="13" spans="2:7" ht="19.899999999999999" customHeight="1">
      <c r="B13" s="10" t="s">
        <v>49</v>
      </c>
      <c r="C13" s="16">
        <f>COUNTIF(Evaluacion!B4:B28,"*H1*")</f>
        <v>2</v>
      </c>
      <c r="D13" s="16">
        <f ca="1">IFERROR(_xludf.MAXIFS(Evaluacion!E4:E28,Evaluacion!B4:B28,"*H1*"),0)</f>
        <v>0</v>
      </c>
      <c r="E13" s="11">
        <f>IFERROR(AVERAGEIF(Evaluacion!B4:B28,"*H1*",Evaluacion!E4:E28),0)</f>
        <v>2.5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ht="19.899999999999999" customHeight="1">
      <c r="B14" s="13" t="s">
        <v>76</v>
      </c>
      <c r="C14" s="17">
        <f>COUNTIF(Evaluacion!B4:B28,"*H2*")</f>
        <v>0</v>
      </c>
      <c r="D14" s="17">
        <f ca="1">IFERROR(_xludf.MAXIFS(Evaluacion!E4:E28,Evaluacion!B4:B28,"*H2*"),0)</f>
        <v>0</v>
      </c>
      <c r="E14" s="14">
        <f>IFERROR(AVERAGEIF(Evaluacion!B4:B28,"*H2*",Evaluacion!E4:E28),0)</f>
        <v>0</v>
      </c>
      <c r="F14" s="15" t="str">
        <f t="shared" si="0"/>
        <v>Sin problemas</v>
      </c>
      <c r="G14" s="15" t="str">
        <f t="shared" si="1"/>
        <v>Sin problemas</v>
      </c>
    </row>
    <row r="15" spans="2:7" ht="19.899999999999999" customHeight="1">
      <c r="B15" s="10" t="s">
        <v>36</v>
      </c>
      <c r="C15" s="16">
        <f>COUNTIF(Evaluacion!B4:B28,"*H3*")</f>
        <v>1</v>
      </c>
      <c r="D15" s="16">
        <f ca="1">IFERROR(_xludf.MAXIFS(Evaluacion!E4:E28,Evaluacion!B4:B28,"*H3*"),0)</f>
        <v>0</v>
      </c>
      <c r="E15" s="11">
        <f>IFERROR(AVERAGEIF(Evaluacion!B4:B28,"*H3*",Evaluacion!E4:E28),0)</f>
        <v>3</v>
      </c>
      <c r="F15" s="12" t="str">
        <f t="shared" ca="1" si="0"/>
        <v>MENOR</v>
      </c>
      <c r="G15" s="12" t="str">
        <f t="shared" ca="1" si="1"/>
        <v>4 - Baja</v>
      </c>
    </row>
    <row r="16" spans="2:7" ht="19.899999999999999" customHeight="1">
      <c r="B16" s="13" t="s">
        <v>77</v>
      </c>
      <c r="C16" s="17">
        <f>COUNTIF(Evaluacion!B4:B28,"*H4*")</f>
        <v>0</v>
      </c>
      <c r="D16" s="17">
        <f ca="1">IFERROR(_xludf.MAXIFS(Evaluacion!E4:E28,Evaluacion!B4:B28,"*H4*"),0)</f>
        <v>0</v>
      </c>
      <c r="E16" s="14">
        <f>IFERROR(AVERAGEIF(Evaluacion!B4:B28,"*H4*",Evaluacion!E4:E28),0)</f>
        <v>0</v>
      </c>
      <c r="F16" s="15" t="str">
        <f t="shared" si="0"/>
        <v>Sin problemas</v>
      </c>
      <c r="G16" s="15" t="str">
        <f t="shared" si="1"/>
        <v>Sin problemas</v>
      </c>
    </row>
    <row r="17" spans="2:7" ht="19.899999999999999" customHeight="1">
      <c r="B17" s="10" t="s">
        <v>31</v>
      </c>
      <c r="C17" s="16">
        <f>COUNTIF(Evaluacion!B4:B28,"*H5*")</f>
        <v>6</v>
      </c>
      <c r="D17" s="16">
        <f ca="1">IFERROR(_xludf.MAXIFS(Evaluacion!E4:E28,Evaluacion!B4:B28,"*H5*"),0)</f>
        <v>0</v>
      </c>
      <c r="E17" s="11">
        <f>IFERROR(AVERAGEIF(Evaluacion!B4:B28,"*H5*",Evaluacion!E4:E28),0)</f>
        <v>3.5</v>
      </c>
      <c r="F17" s="12" t="str">
        <f t="shared" ca="1" si="0"/>
        <v>MENOR</v>
      </c>
      <c r="G17" s="12" t="str">
        <f t="shared" ca="1" si="1"/>
        <v>4 - Baja</v>
      </c>
    </row>
    <row r="18" spans="2:7" ht="19.899999999999999" customHeight="1">
      <c r="B18" s="13" t="s">
        <v>78</v>
      </c>
      <c r="C18" s="17">
        <f>COUNTIF(Evaluacion!B4:B28,"*H6*")</f>
        <v>0</v>
      </c>
      <c r="D18" s="17">
        <f ca="1">IFERROR(_xludf.MAXIFS(Evaluacion!E4:E28,Evaluacion!B4:B28,"*H6*"),0)</f>
        <v>0</v>
      </c>
      <c r="E18" s="14">
        <f>IFERROR(AVERAGEIF(Evaluacion!B4:B28,"*H6*",Evaluacion!E4:E28),0)</f>
        <v>0</v>
      </c>
      <c r="F18" s="15" t="str">
        <f t="shared" si="0"/>
        <v>Sin problemas</v>
      </c>
      <c r="G18" s="15" t="str">
        <f t="shared" si="1"/>
        <v>Sin problemas</v>
      </c>
    </row>
    <row r="19" spans="2:7" ht="19.899999999999999" customHeight="1">
      <c r="B19" s="10" t="s">
        <v>59</v>
      </c>
      <c r="C19" s="16">
        <f>COUNTIF(Evaluacion!B4:B28,"*H7*")</f>
        <v>1</v>
      </c>
      <c r="D19" s="16">
        <f ca="1">IFERROR(_xludf.MAXIFS(Evaluacion!E4:E28,Evaluacion!B4:B28,"*H7*"),0)</f>
        <v>0</v>
      </c>
      <c r="E19" s="11">
        <f>IFERROR(AVERAGEIF(Evaluacion!B4:B28,"*H7*",Evaluacion!E4:E28),0)</f>
        <v>1</v>
      </c>
      <c r="F19" s="12" t="str">
        <f t="shared" ca="1" si="0"/>
        <v>MENOR</v>
      </c>
      <c r="G19" s="12" t="str">
        <f t="shared" ca="1" si="1"/>
        <v>4 - Baja</v>
      </c>
    </row>
    <row r="20" spans="2:7" ht="19.899999999999999" customHeight="1">
      <c r="B20" s="13" t="s">
        <v>79</v>
      </c>
      <c r="C20" s="17">
        <f>COUNTIF(Evaluacion!B4:B28,"*H8*")</f>
        <v>0</v>
      </c>
      <c r="D20" s="17">
        <f ca="1">IFERROR(_xludf.MAXIFS(Evaluacion!E4:E28,Evaluacion!B4:B28,"*H8*"),0)</f>
        <v>0</v>
      </c>
      <c r="E20" s="14">
        <f>IFERROR(AVERAGEIF(Evaluacion!B4:B28,"*H8*",Evaluacion!E4:E28),0)</f>
        <v>0</v>
      </c>
      <c r="F20" s="15" t="str">
        <f t="shared" si="0"/>
        <v>Sin problemas</v>
      </c>
      <c r="G20" s="15" t="str">
        <f t="shared" si="1"/>
        <v>Sin problemas</v>
      </c>
    </row>
    <row r="21" spans="2:7" ht="19.899999999999999" customHeight="1">
      <c r="B21" s="10" t="s">
        <v>80</v>
      </c>
      <c r="C21" s="16">
        <f>COUNTIF(Evaluacion!B4:B28,"*H9*")</f>
        <v>0</v>
      </c>
      <c r="D21" s="16">
        <f ca="1">IFERROR(_xludf.MAXIFS(Evaluacion!E4:E28,Evaluacion!B4:B28,"*H9*"),0)</f>
        <v>0</v>
      </c>
      <c r="E21" s="11">
        <f>IFERROR(AVERAGEIF(Evaluacion!B4:B28,"*H9*",Evaluacion!E4:E28),0)</f>
        <v>0</v>
      </c>
      <c r="F21" s="12" t="str">
        <f t="shared" si="0"/>
        <v>Sin problemas</v>
      </c>
      <c r="G21" s="12" t="str">
        <f t="shared" si="1"/>
        <v>Sin problemas</v>
      </c>
    </row>
    <row r="22" spans="2:7" ht="19.899999999999999" customHeight="1">
      <c r="B22" s="13" t="s">
        <v>40</v>
      </c>
      <c r="C22" s="17">
        <f>COUNTIF(Evaluacion!B4:B28,"*H10*")</f>
        <v>1</v>
      </c>
      <c r="D22" s="17">
        <f ca="1">IFERROR(_xludf.MAXIFS(Evaluacion!E4:E28,Evaluacion!B4:B28,"*H10*"),0)</f>
        <v>0</v>
      </c>
      <c r="E22" s="14">
        <f>IFERROR(AVERAGEIF(Evaluacion!B4:B28,"*H10*",Evaluacion!E4:E28),0)</f>
        <v>2</v>
      </c>
      <c r="F22" s="15" t="str">
        <f t="shared" ca="1" si="0"/>
        <v>MENOR</v>
      </c>
      <c r="G22" s="15" t="str">
        <f t="shared" ca="1" si="1"/>
        <v>4 - Baja</v>
      </c>
    </row>
  </sheetData>
  <mergeCells count="9">
    <mergeCell ref="B1:G1"/>
    <mergeCell ref="B4:G4"/>
    <mergeCell ref="C9:D9"/>
    <mergeCell ref="C8:D8"/>
    <mergeCell ref="B11:G11"/>
    <mergeCell ref="B2:G2"/>
    <mergeCell ref="C6:D6"/>
    <mergeCell ref="C7:D7"/>
    <mergeCell ref="C5:D5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D802-96E2-1549-9B9F-E66DE1E5ABFB}">
  <dimension ref="A1:A10"/>
  <sheetViews>
    <sheetView workbookViewId="0">
      <selection sqref="A1:XFD1048576"/>
    </sheetView>
  </sheetViews>
  <sheetFormatPr defaultColWidth="11.42578125" defaultRowHeight="14.45"/>
  <cols>
    <col min="1" max="1" width="29.7109375" customWidth="1"/>
  </cols>
  <sheetData>
    <row r="1" spans="1:1">
      <c r="A1" s="18" t="s">
        <v>49</v>
      </c>
    </row>
    <row r="2" spans="1:1">
      <c r="A2" s="18" t="s">
        <v>76</v>
      </c>
    </row>
    <row r="3" spans="1:1">
      <c r="A3" s="18" t="s">
        <v>36</v>
      </c>
    </row>
    <row r="4" spans="1:1">
      <c r="A4" s="18" t="s">
        <v>77</v>
      </c>
    </row>
    <row r="5" spans="1:1">
      <c r="A5" s="18" t="s">
        <v>31</v>
      </c>
    </row>
    <row r="6" spans="1:1">
      <c r="A6" s="18" t="s">
        <v>78</v>
      </c>
    </row>
    <row r="7" spans="1:1">
      <c r="A7" s="18" t="s">
        <v>59</v>
      </c>
    </row>
    <row r="8" spans="1:1">
      <c r="A8" s="18" t="s">
        <v>81</v>
      </c>
    </row>
    <row r="9" spans="1:1">
      <c r="A9" s="18" t="s">
        <v>80</v>
      </c>
    </row>
    <row r="10" spans="1:1">
      <c r="A10" s="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2026-06-12T14:00:04Z</dcterms:created>
  <dcterms:modified xsi:type="dcterms:W3CDTF">2026-06-22T15:38:52Z</dcterms:modified>
  <cp:category/>
  <cp:contentStatus/>
</cp:coreProperties>
</file>